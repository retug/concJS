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Summary" sheetId="1" r:id="rId1"/>
    <sheet name="Selected NA Results" sheetId="2" r:id="rId2"/>
    <sheet name="MM Results" sheetId="3" r:id="rId3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0.00"/>
    <numFmt numFmtId="165" formatCode="0.00000"/>
    <numFmt numFmtId="166" formatCode="0.00%"/>
  </numFmts>
  <fonts count="4">
    <font>
      <sz val="11"/>
      <color theme="1"/>
      <name val="Calibri"/>
      <family val="2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color rgb="FF243B5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02A4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/>
    <xf numFmtId="164" fontId="0" fillId="0" borderId="1" xfId="0" applyNumberFormat="1" applyBorder="1"/>
    <xf numFmtId="0" fontId="2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section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0</xdr:colOff>
      <xdr:row>4</xdr:row>
      <xdr:rowOff>0</xdr:rowOff>
    </xdr:from>
    <xdr:ext cx="6858000" cy="4572000"/>
    <xdr:pic>
      <xdr:nvPicPr>
        <xdr:cNvPr id="2" name="Concrete Section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858000" cy="45720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1" width="29" customWidth="1"/>
    <col min="2" max="2" width="30" customWidth="1"/>
    <col min="3" max="3" width="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</cols>
  <sheetData>
    <row r="1" ht="28" customHeight="1">
      <c r="A1" s="1" t="inlineStr">
        <is>
          <t xml:space="preserve">Concrete Section Analysis Export</t>
        </is>
      </c>
    </row>
    <row r="2">
      <c r="A2" s="3" t="inlineStr">
        <is>
          <t xml:space="preserve">Generated</t>
        </is>
      </c>
      <c r="B2" s="0" t="inlineStr">
        <is>
          <t xml:space="preserve">8/15/2026, 12:00:00 PM</t>
        </is>
      </c>
    </row>
    <row r="4" ht="22" customHeight="1">
      <c r="A4" s="2" t="inlineStr">
        <is>
          <t xml:space="preserve">Section Parameters</t>
        </is>
      </c>
      <c r="D4" s="2" t="inlineStr">
        <is>
          <t xml:space="preserve">Section Image</t>
        </is>
      </c>
    </row>
    <row r="5">
      <c r="A5" s="3" t="inlineStr">
        <is>
          <t xml:space="preserve">Concrete material</t>
        </is>
      </c>
      <c r="B5" s="0" t="inlineStr">
        <is>
          <t xml:space="preserve">fc4ksi</t>
        </is>
      </c>
    </row>
    <row r="6">
      <c r="A6" s="3" t="inlineStr">
        <is>
          <t xml:space="preserve">Overall width (in)</t>
        </is>
      </c>
      <c r="B6" s="4">
        <v>24</v>
      </c>
    </row>
    <row r="7">
      <c r="A7" s="3" t="inlineStr">
        <is>
          <t xml:space="preserve">Overall height (in)</t>
        </is>
      </c>
      <c r="B7" s="4">
        <v>24</v>
      </c>
    </row>
    <row r="8">
      <c r="A8" s="3" t="inlineStr">
        <is>
          <t xml:space="preserve">Concrete area (in²)</t>
        </is>
      </c>
      <c r="B8" s="4">
        <v>576</v>
      </c>
    </row>
    <row r="9">
      <c r="A9" s="3" t="inlineStr">
        <is>
          <t xml:space="preserve">Total number of rebar</t>
        </is>
      </c>
      <c r="B9" s="7">
        <v>8</v>
      </c>
    </row>
    <row r="10">
      <c r="A10" s="3" t="inlineStr">
        <is>
          <t xml:space="preserve">Total steel area (in²)</t>
        </is>
      </c>
      <c r="B10" s="4">
        <v>7.995</v>
      </c>
    </row>
    <row r="11">
      <c r="A11" s="3" t="inlineStr">
        <is>
          <t xml:space="preserve">Reinforcement ratio</t>
        </is>
      </c>
      <c r="B11" s="8">
        <f>B10/B8</f>
        <v>0.013880208333333333</v>
      </c>
    </row>
    <row r="12">
      <c r="A12" s="3" t="inlineStr">
        <is>
          <t xml:space="preserve">Centroid X (in)</t>
        </is>
      </c>
      <c r="B12" s="4">
        <v>0</v>
      </c>
    </row>
    <row r="13">
      <c r="A13" s="3" t="inlineStr">
        <is>
          <t xml:space="preserve">Centroid Y (in)</t>
        </is>
      </c>
      <c r="B13" s="4">
        <v>0</v>
      </c>
    </row>
    <row r="14">
      <c r="A14" s="3" t="inlineStr">
        <is>
          <t xml:space="preserve">Rebar provided</t>
        </is>
      </c>
      <c r="B14" s="0" t="inlineStr">
        <is>
          <t xml:space="preserve">8 × #9</t>
        </is>
      </c>
    </row>
    <row r="15">
      <c r="A15" s="3" t="inlineStr">
        <is>
          <t xml:space="preserve">Rebar material(s)</t>
        </is>
      </c>
      <c r="B15" s="0" t="inlineStr">
        <is>
          <t xml:space="preserve">8 × fy60ksi</t>
        </is>
      </c>
    </row>
    <row r="16">
      <c r="A16" s="3" t="inlineStr">
        <is>
          <t xml:space="preserve">Edge mesh spacing (in)</t>
        </is>
      </c>
      <c r="B16" s="4">
        <v>1</v>
      </c>
    </row>
    <row r="17">
      <c r="A17" s="3" t="inlineStr">
        <is>
          <t xml:space="preserve">Interior mesh spacing (in)</t>
        </is>
      </c>
      <c r="B17" s="4">
        <v>1</v>
      </c>
    </row>
    <row r="19" ht="22" customHeight="1">
      <c r="A19" s="2" t="inlineStr">
        <is>
          <t xml:space="preserve">Exported Analysis</t>
        </is>
      </c>
    </row>
    <row r="20">
      <c r="A20" s="3" t="inlineStr">
        <is>
          <t xml:space="preserve">Selected NA angle (deg)</t>
        </is>
      </c>
      <c r="B20" s="4">
        <v>30</v>
      </c>
    </row>
    <row r="21">
      <c r="A21" s="3" t="inlineStr">
        <is>
          <t xml:space="preserve">MM axial load (kips)</t>
        </is>
      </c>
      <c r="B21" s="4">
        <v>0</v>
      </c>
    </row>
    <row r="22">
      <c r="A22" s="3" t="inlineStr">
        <is>
          <t xml:space="preserve">Nominal MM points</t>
        </is>
      </c>
      <c r="B22" s="7">
        <v>12</v>
      </c>
    </row>
    <row r="23">
      <c r="A23" s="3" t="inlineStr">
        <is>
          <t xml:space="preserve">φMM points</t>
        </is>
      </c>
      <c r="B23" s="7">
        <v>9</v>
      </c>
    </row>
  </sheetData>
  <mergeCells count="4">
    <mergeCell ref="A1:L1"/>
    <mergeCell ref="A4:B4"/>
    <mergeCell ref="D4:L4"/>
    <mergeCell ref="A19:B19"/>
  </mergeCells>
  <pageMargins left="0.35" right="0.35" top="0.5" bottom="0.5" header="0.2" footer="0.2"/>
  <pageSetup orientation="landscape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4" topLeftCell="A5" activePane="bottomLeft" state="frozen"/>
    </sheetView>
  </sheetViews>
  <sheetFormatPr defaultRowHeight="15"/>
  <cols>
    <col min="1" max="1" width="10" customWidth="1"/>
    <col min="2" max="2" width="16" customWidth="1"/>
    <col min="3" max="3" width="16" customWidth="1"/>
    <col min="4" max="4" width="18" customWidth="1"/>
    <col min="5" max="5" width="15" customWidth="1"/>
    <col min="6" max="6" width="15" customWidth="1"/>
    <col min="7" max="7" width="15" customWidth="1"/>
    <col min="8" max="8" width="19" customWidth="1"/>
    <col min="9" max="9" width="10" customWidth="1"/>
    <col min="10" max="10" width="15" customWidth="1"/>
    <col min="11" max="11" width="15" customWidth="1"/>
    <col min="12" max="12" width="15" customWidth="1"/>
  </cols>
  <sheetData>
    <row r="1" ht="28" customHeight="1">
      <c r="A1" s="1" t="inlineStr">
        <is>
          <t xml:space="preserve">Selected Neutral-Axis PMM Results</t>
        </is>
      </c>
    </row>
    <row r="2">
      <c r="A2" s="3" t="inlineStr">
        <is>
          <t xml:space="preserve">Neutral-axis angle (deg)</t>
        </is>
      </c>
      <c r="B2" s="4">
        <v>30</v>
      </c>
    </row>
    <row r="4" ht="28" customHeight="1">
      <c r="A4" s="5" t="inlineStr">
        <is>
          <t xml:space="preserve">Profile</t>
        </is>
      </c>
      <c r="B4" s="5" t="inlineStr">
        <is>
          <t xml:space="preserve">NA Angle (deg)</t>
        </is>
      </c>
      <c r="C4" s="5" t="inlineStr">
        <is>
          <t xml:space="preserve">Strain Slope</t>
        </is>
      </c>
      <c r="D4" s="5" t="inlineStr">
        <is>
          <t xml:space="preserve">Strain Intercept</t>
        </is>
      </c>
      <c r="E4" s="5" t="inlineStr">
        <is>
          <t xml:space="preserve">P (kips)</t>
        </is>
      </c>
      <c r="F4" s="5" t="inlineStr">
        <is>
          <t xml:space="preserve">Mx (kip-ft)</t>
        </is>
      </c>
      <c r="G4" s="5" t="inlineStr">
        <is>
          <t xml:space="preserve">My (kip-ft)</t>
        </is>
      </c>
      <c r="H4" s="5" t="inlineStr">
        <is>
          <t xml:space="preserve">Max Rebar Strain</t>
        </is>
      </c>
      <c r="I4" s="5" t="inlineStr">
        <is>
          <t xml:space="preserve">φ</t>
        </is>
      </c>
      <c r="J4" s="5" t="inlineStr">
        <is>
          <t xml:space="preserve">φP (kips)</t>
        </is>
      </c>
      <c r="K4" s="5" t="inlineStr">
        <is>
          <t xml:space="preserve">φMx (kip-ft)</t>
        </is>
      </c>
      <c r="L4" s="5" t="inlineStr">
        <is>
          <t xml:space="preserve">φMy (kip-ft)</t>
        </is>
      </c>
    </row>
    <row r="5">
      <c r="A5" s="7">
        <v>0</v>
      </c>
      <c r="B5" s="6">
        <v>30</v>
      </c>
      <c r="C5" s="6">
        <v>-0.0002</v>
      </c>
      <c r="D5" s="6">
        <v>-0.003</v>
      </c>
      <c r="E5" s="6">
        <v>-900</v>
      </c>
      <c r="F5" s="6">
        <v>50</v>
      </c>
      <c r="G5" s="6">
        <v>20</v>
      </c>
      <c r="H5" s="6">
        <v>0.001</v>
      </c>
      <c r="I5" s="6">
        <v>0.65</v>
      </c>
      <c r="J5" s="6">
        <v>-585</v>
      </c>
      <c r="K5" s="6">
        <v>33</v>
      </c>
      <c r="L5" s="6">
        <v>13</v>
      </c>
    </row>
    <row r="6">
      <c r="A6" s="7">
        <v>1</v>
      </c>
      <c r="B6" s="6">
        <v>30</v>
      </c>
      <c r="C6" s="6">
        <v>-0.00015000000000000001</v>
      </c>
      <c r="D6" s="6">
        <v>-0.0022</v>
      </c>
      <c r="E6" s="6">
        <v>-720</v>
      </c>
      <c r="F6" s="6">
        <v>72</v>
      </c>
      <c r="G6" s="6">
        <v>29</v>
      </c>
      <c r="H6" s="6">
        <v>0.0017000000000000001</v>
      </c>
      <c r="I6" s="6">
        <v>0.68</v>
      </c>
      <c r="J6" s="6">
        <v>-465</v>
      </c>
      <c r="K6" s="6">
        <v>49</v>
      </c>
      <c r="L6" s="6">
        <v>20</v>
      </c>
    </row>
    <row r="7">
      <c r="A7" s="7">
        <v>2</v>
      </c>
      <c r="B7" s="6">
        <v>30</v>
      </c>
      <c r="C7" s="6">
        <v>-0.0001</v>
      </c>
      <c r="D7" s="6">
        <v>-0.0014</v>
      </c>
      <c r="E7" s="6">
        <v>-540</v>
      </c>
      <c r="F7" s="6">
        <v>94</v>
      </c>
      <c r="G7" s="6">
        <v>38</v>
      </c>
      <c r="H7" s="6">
        <v>0.0024000000000000002</v>
      </c>
      <c r="I7" s="6">
        <v>0.71</v>
      </c>
      <c r="J7" s="6">
        <v>-345</v>
      </c>
      <c r="K7" s="6">
        <v>65</v>
      </c>
      <c r="L7" s="6">
        <v>27</v>
      </c>
    </row>
    <row r="8">
      <c r="A8" s="7">
        <v>3</v>
      </c>
      <c r="B8" s="6">
        <v>30</v>
      </c>
      <c r="C8" s="6">
        <v>-0.000049999999999999996</v>
      </c>
      <c r="D8" s="6">
        <v>-0.0005999999999999998</v>
      </c>
      <c r="E8" s="6">
        <v>-360</v>
      </c>
      <c r="F8" s="6">
        <v>116</v>
      </c>
      <c r="G8" s="6">
        <v>47</v>
      </c>
      <c r="H8" s="6">
        <v>0.0031</v>
      </c>
      <c r="I8" s="6">
        <v>0.74</v>
      </c>
      <c r="J8" s="6">
        <v>-225</v>
      </c>
      <c r="K8" s="6">
        <v>81</v>
      </c>
      <c r="L8" s="6">
        <v>34</v>
      </c>
    </row>
    <row r="9">
      <c r="A9" s="7">
        <v>4</v>
      </c>
      <c r="B9" s="6">
        <v>30</v>
      </c>
      <c r="C9" s="6">
        <v>0</v>
      </c>
      <c r="D9" s="6">
        <v>0.0002000000000000001</v>
      </c>
      <c r="E9" s="6">
        <v>-180</v>
      </c>
      <c r="F9" s="6">
        <v>138</v>
      </c>
      <c r="G9" s="6">
        <v>56</v>
      </c>
      <c r="H9" s="6">
        <v>0.0038</v>
      </c>
      <c r="I9" s="6">
        <v>0.77</v>
      </c>
      <c r="J9" s="6">
        <v>-105</v>
      </c>
      <c r="K9" s="6">
        <v>97</v>
      </c>
      <c r="L9" s="6">
        <v>41</v>
      </c>
    </row>
    <row r="10">
      <c r="A10" s="7">
        <v>5</v>
      </c>
      <c r="B10" s="6">
        <v>30</v>
      </c>
      <c r="C10" s="6">
        <v>0.000049999999999999996</v>
      </c>
      <c r="D10" s="6">
        <v>0.001</v>
      </c>
      <c r="E10" s="6">
        <v>0</v>
      </c>
      <c r="F10" s="6">
        <v>160</v>
      </c>
      <c r="G10" s="6">
        <v>65</v>
      </c>
      <c r="H10" s="6">
        <v>0.0045000000000000005</v>
      </c>
      <c r="I10" s="6">
        <v>0.8</v>
      </c>
      <c r="J10" s="6">
        <v>15</v>
      </c>
      <c r="K10" s="6">
        <v>113</v>
      </c>
      <c r="L10" s="6">
        <v>48</v>
      </c>
    </row>
    <row r="11">
      <c r="A11" s="7">
        <v>6</v>
      </c>
      <c r="B11" s="6">
        <v>30</v>
      </c>
      <c r="C11" s="6">
        <v>0.00010000000000000002</v>
      </c>
      <c r="D11" s="6">
        <v>0.0018000000000000004</v>
      </c>
      <c r="E11" s="6">
        <v>180</v>
      </c>
      <c r="F11" s="6">
        <v>182</v>
      </c>
      <c r="G11" s="6">
        <v>74</v>
      </c>
      <c r="H11" s="6">
        <v>0.0052</v>
      </c>
      <c r="I11" s="6">
        <v>0.8300000000000001</v>
      </c>
      <c r="J11" s="6">
        <v>135</v>
      </c>
      <c r="K11" s="6">
        <v>129</v>
      </c>
      <c r="L11" s="6">
        <v>55</v>
      </c>
    </row>
    <row r="12">
      <c r="A12" s="7">
        <v>7</v>
      </c>
      <c r="B12" s="6">
        <v>30</v>
      </c>
      <c r="C12" s="6">
        <v>0.00015</v>
      </c>
      <c r="D12" s="6">
        <v>0.0026</v>
      </c>
      <c r="E12" s="6">
        <v>360</v>
      </c>
      <c r="F12" s="6">
        <v>204</v>
      </c>
      <c r="G12" s="6">
        <v>83</v>
      </c>
      <c r="H12" s="6">
        <v>0.0059</v>
      </c>
      <c r="I12" s="6">
        <v>0.86</v>
      </c>
      <c r="J12" s="6">
        <v>255</v>
      </c>
      <c r="K12" s="6">
        <v>145</v>
      </c>
      <c r="L12" s="6">
        <v>62</v>
      </c>
    </row>
  </sheetData>
  <autoFilter ref="A4:L12"/>
  <mergeCells count="1">
    <mergeCell ref="A1:L1"/>
  </mergeCells>
  <pageMargins left="0.35" right="0.35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4" topLeftCell="A5" activePane="bottomLeft" state="frozen"/>
    </sheetView>
  </sheetViews>
  <sheetFormatPr defaultRowHeight="15"/>
  <cols>
    <col min="1" max="1" width="10" customWidth="1"/>
    <col min="2" max="2" width="16" customWidth="1"/>
    <col min="3" max="3" width="18" customWidth="1"/>
    <col min="4" max="4" width="20" customWidth="1"/>
    <col min="5" max="5" width="20" customWidth="1"/>
    <col min="6" max="6" width="21" customWidth="1"/>
    <col min="7" max="7" width="23" customWidth="1"/>
    <col min="8" max="8" width="15" customWidth="1"/>
    <col min="9" max="9" width="17" customWidth="1"/>
    <col min="10" max="10" width="17" customWidth="1"/>
    <col min="11" max="11" width="18" customWidth="1"/>
    <col min="12" max="12" width="20" customWidth="1"/>
  </cols>
  <sheetData>
    <row r="1" ht="28" customHeight="1">
      <c r="A1" s="1" t="inlineStr">
        <is>
          <t xml:space="preserve">Moment-Moment Results</t>
        </is>
      </c>
    </row>
    <row r="2">
      <c r="A2" s="3" t="inlineStr">
        <is>
          <t xml:space="preserve">Target axial load (kips)</t>
        </is>
      </c>
      <c r="B2" s="4">
        <v>0</v>
      </c>
      <c r="D2" s="0" t="inlineStr">
        <is>
          <t xml:space="preserve">Blank φ cells mean no reduced-strength solution exists.</t>
        </is>
      </c>
    </row>
    <row r="4" ht="32" customHeight="1">
      <c r="A4" s="5" t="inlineStr">
        <is>
          <t xml:space="preserve">Point</t>
        </is>
      </c>
      <c r="B4" s="5" t="inlineStr">
        <is>
          <t xml:space="preserve">NA Angle (deg)</t>
        </is>
      </c>
      <c r="C4" s="5" t="inlineStr">
        <is>
          <t xml:space="preserve">Nominal P (kips)</t>
        </is>
      </c>
      <c r="D4" s="5" t="inlineStr">
        <is>
          <t xml:space="preserve">Nominal Mx (kip-ft)</t>
        </is>
      </c>
      <c r="E4" s="5" t="inlineStr">
        <is>
          <t xml:space="preserve">Nominal My (kip-ft)</t>
        </is>
      </c>
      <c r="F4" s="5" t="inlineStr">
        <is>
          <t xml:space="preserve">Nominal Strain Slope</t>
        </is>
      </c>
      <c r="G4" s="5" t="inlineStr">
        <is>
          <t xml:space="preserve">Nominal Strain Intercept</t>
        </is>
      </c>
      <c r="H4" s="5" t="inlineStr">
        <is>
          <t xml:space="preserve">φP (kips)</t>
        </is>
      </c>
      <c r="I4" s="5" t="inlineStr">
        <is>
          <t xml:space="preserve">φMx (kip-ft)</t>
        </is>
      </c>
      <c r="J4" s="5" t="inlineStr">
        <is>
          <t xml:space="preserve">φMy (kip-ft)</t>
        </is>
      </c>
      <c r="K4" s="5" t="inlineStr">
        <is>
          <t xml:space="preserve">φ Strain Slope</t>
        </is>
      </c>
      <c r="L4" s="5" t="inlineStr">
        <is>
          <t xml:space="preserve">φ Strain Intercept</t>
        </is>
      </c>
    </row>
    <row r="5">
      <c r="A5" s="7">
        <v>0</v>
      </c>
      <c r="B5" s="6">
        <v>0</v>
      </c>
      <c r="C5" s="6">
        <v>0</v>
      </c>
      <c r="D5" s="6">
        <v>200</v>
      </c>
      <c r="E5" s="6">
        <v>0</v>
      </c>
      <c r="F5" s="6">
        <v>-0.00025</v>
      </c>
      <c r="G5" s="6">
        <v>0.001</v>
      </c>
      <c r="H5" s="6">
        <v>0</v>
      </c>
      <c r="I5" s="6">
        <v>150</v>
      </c>
      <c r="J5" s="6">
        <v>0</v>
      </c>
      <c r="K5" s="6">
        <v>-0.0002</v>
      </c>
      <c r="L5" s="6">
        <v>0.0015</v>
      </c>
    </row>
    <row r="6">
      <c r="A6" s="7">
        <v>1</v>
      </c>
      <c r="B6" s="6">
        <v>30</v>
      </c>
      <c r="C6" s="6">
        <v>0</v>
      </c>
      <c r="D6" s="6">
        <v>173.20508075688775</v>
      </c>
      <c r="E6" s="6">
        <v>74.99999999999999</v>
      </c>
      <c r="F6" s="6">
        <v>-0.00025</v>
      </c>
      <c r="G6" s="6">
        <v>0.001</v>
      </c>
      <c r="H6" s="6">
        <v>0</v>
      </c>
      <c r="I6" s="6">
        <v>129.9038105676658</v>
      </c>
      <c r="J6" s="6">
        <v>54.99999999999999</v>
      </c>
      <c r="K6" s="6">
        <v>-0.0002</v>
      </c>
      <c r="L6" s="6">
        <v>0.0015</v>
      </c>
    </row>
    <row r="7">
      <c r="A7" s="7">
        <v>2</v>
      </c>
      <c r="B7" s="6">
        <v>60</v>
      </c>
      <c r="C7" s="6">
        <v>0</v>
      </c>
      <c r="D7" s="6">
        <v>100.00000000000003</v>
      </c>
      <c r="E7" s="6">
        <v>129.9038105676658</v>
      </c>
      <c r="F7" s="6">
        <v>-0.00025</v>
      </c>
      <c r="G7" s="6">
        <v>0.001</v>
      </c>
      <c r="H7" s="6">
        <v>0</v>
      </c>
      <c r="I7" s="6">
        <v>75.00000000000001</v>
      </c>
      <c r="J7" s="6">
        <v>95.26279441628824</v>
      </c>
      <c r="K7" s="6">
        <v>-0.0002</v>
      </c>
      <c r="L7" s="6">
        <v>0.0015</v>
      </c>
    </row>
    <row r="8">
      <c r="A8" s="7">
        <v>3</v>
      </c>
      <c r="B8" s="6">
        <v>90</v>
      </c>
      <c r="C8" s="6">
        <v>0</v>
      </c>
      <c r="D8" s="6">
        <v>1.2246467991473532e-14</v>
      </c>
      <c r="E8" s="6">
        <v>150</v>
      </c>
      <c r="F8" s="6">
        <v>-0.00025</v>
      </c>
      <c r="G8" s="6">
        <v>0.001</v>
      </c>
      <c r="H8" s="6">
        <v>0</v>
      </c>
      <c r="I8" s="6">
        <v>9.184850993605149e-15</v>
      </c>
      <c r="J8" s="6">
        <v>110</v>
      </c>
      <c r="K8" s="6">
        <v>-0.0002</v>
      </c>
      <c r="L8" s="6">
        <v>0.0015</v>
      </c>
    </row>
    <row r="9">
      <c r="A9" s="7">
        <v>4</v>
      </c>
      <c r="B9" s="6">
        <v>120</v>
      </c>
      <c r="C9" s="6">
        <v>0</v>
      </c>
      <c r="D9" s="6">
        <v>-99.99999999999996</v>
      </c>
      <c r="E9" s="6">
        <v>129.9038105676658</v>
      </c>
      <c r="F9" s="6">
        <v>-0.00025</v>
      </c>
      <c r="G9" s="6">
        <v>0.001</v>
      </c>
      <c r="H9" s="6">
        <v>0</v>
      </c>
      <c r="I9" s="6">
        <v>-74.99999999999997</v>
      </c>
      <c r="J9" s="6">
        <v>95.26279441628826</v>
      </c>
      <c r="K9" s="6">
        <v>-0.0002</v>
      </c>
      <c r="L9" s="6">
        <v>0.0015</v>
      </c>
    </row>
    <row r="10">
      <c r="A10" s="7">
        <v>5</v>
      </c>
      <c r="B10" s="6">
        <v>150</v>
      </c>
      <c r="C10" s="6">
        <v>0</v>
      </c>
      <c r="D10" s="6">
        <v>-173.20508075688775</v>
      </c>
      <c r="E10" s="6">
        <v>74.99999999999999</v>
      </c>
      <c r="F10" s="6">
        <v>-0.00025</v>
      </c>
      <c r="G10" s="6">
        <v>0.001</v>
      </c>
      <c r="H10" s="6">
        <v>0</v>
      </c>
      <c r="I10" s="6">
        <v>-129.9038105676658</v>
      </c>
      <c r="J10" s="6">
        <v>54.99999999999999</v>
      </c>
      <c r="K10" s="6">
        <v>-0.0002</v>
      </c>
      <c r="L10" s="6">
        <v>0.0015</v>
      </c>
    </row>
    <row r="11">
      <c r="A11" s="7">
        <v>6</v>
      </c>
      <c r="B11" s="6">
        <v>180</v>
      </c>
      <c r="C11" s="6">
        <v>0</v>
      </c>
      <c r="D11" s="6">
        <v>-200</v>
      </c>
      <c r="E11" s="6">
        <v>1.8369701987210297e-14</v>
      </c>
      <c r="F11" s="6">
        <v>-0.00025</v>
      </c>
      <c r="G11" s="6">
        <v>0.001</v>
      </c>
      <c r="H11" s="6">
        <v>0</v>
      </c>
      <c r="I11" s="6">
        <v>-150</v>
      </c>
      <c r="J11" s="6">
        <v>1.3471114790620885e-14</v>
      </c>
      <c r="K11" s="6">
        <v>-0.0002</v>
      </c>
      <c r="L11" s="6">
        <v>0.0015</v>
      </c>
    </row>
    <row r="12">
      <c r="A12" s="7">
        <v>7</v>
      </c>
      <c r="B12" s="6">
        <v>210</v>
      </c>
      <c r="C12" s="6">
        <v>0</v>
      </c>
      <c r="D12" s="6">
        <v>-173.20508075688772</v>
      </c>
      <c r="E12" s="6">
        <v>-75.00000000000001</v>
      </c>
      <c r="F12" s="6">
        <v>-0.00025</v>
      </c>
      <c r="G12" s="6">
        <v>0.001</v>
      </c>
      <c r="H12" s="6">
        <v>0</v>
      </c>
      <c r="I12" s="6">
        <v>-129.9038105676658</v>
      </c>
      <c r="J12" s="6">
        <v>-55.000000000000014</v>
      </c>
      <c r="K12" s="6">
        <v>-0.0002</v>
      </c>
      <c r="L12" s="6">
        <v>0.0015</v>
      </c>
    </row>
    <row r="13">
      <c r="A13" s="7">
        <v>8</v>
      </c>
      <c r="B13" s="6">
        <v>240</v>
      </c>
      <c r="C13" s="6">
        <v>0</v>
      </c>
      <c r="D13" s="6">
        <v>-100.00000000000009</v>
      </c>
      <c r="E13" s="6">
        <v>-129.90381056766577</v>
      </c>
      <c r="F13" s="6">
        <v>-0.00025</v>
      </c>
      <c r="G13" s="6">
        <v>0.001</v>
      </c>
      <c r="H13" s="6">
        <v>0</v>
      </c>
      <c r="I13" s="6">
        <v>-75.00000000000007</v>
      </c>
      <c r="J13" s="6">
        <v>-95.26279441628823</v>
      </c>
      <c r="K13" s="6">
        <v>-0.0002</v>
      </c>
      <c r="L13" s="6">
        <v>0.0015</v>
      </c>
    </row>
    <row r="14">
      <c r="A14" s="7">
        <v>9</v>
      </c>
      <c r="B14" s="6">
        <v>270</v>
      </c>
      <c r="C14" s="6">
        <v>0</v>
      </c>
      <c r="D14" s="6">
        <v>-3.6739403974420595e-14</v>
      </c>
      <c r="E14" s="6">
        <v>-150</v>
      </c>
      <c r="F14" s="6">
        <v>-0.00025</v>
      </c>
      <c r="G14" s="6">
        <v>0.001</v>
      </c>
      <c r="H14" s="6"/>
      <c r="I14" s="6"/>
      <c r="J14" s="6"/>
      <c r="K14" s="6"/>
      <c r="L14" s="6"/>
    </row>
    <row r="15">
      <c r="A15" s="7">
        <v>10</v>
      </c>
      <c r="B15" s="6">
        <v>300</v>
      </c>
      <c r="C15" s="6">
        <v>0</v>
      </c>
      <c r="D15" s="6">
        <v>100.00000000000003</v>
      </c>
      <c r="E15" s="6">
        <v>-129.9038105676658</v>
      </c>
      <c r="F15" s="6">
        <v>-0.00025</v>
      </c>
      <c r="G15" s="6">
        <v>0.001</v>
      </c>
      <c r="H15" s="6"/>
      <c r="I15" s="6"/>
      <c r="J15" s="6"/>
      <c r="K15" s="6"/>
      <c r="L15" s="6"/>
    </row>
    <row r="16">
      <c r="A16" s="7">
        <v>11</v>
      </c>
      <c r="B16" s="6">
        <v>330</v>
      </c>
      <c r="C16" s="6">
        <v>0</v>
      </c>
      <c r="D16" s="6">
        <v>173.20508075688767</v>
      </c>
      <c r="E16" s="6">
        <v>-75.00000000000007</v>
      </c>
      <c r="F16" s="6">
        <v>-0.00025</v>
      </c>
      <c r="G16" s="6">
        <v>0.001</v>
      </c>
      <c r="H16" s="6"/>
      <c r="I16" s="6"/>
      <c r="J16" s="6"/>
      <c r="K16" s="6"/>
      <c r="L16" s="6"/>
    </row>
  </sheetData>
  <autoFilter ref="A4:L16"/>
  <mergeCells count="2">
    <mergeCell ref="A1:L1"/>
    <mergeCell ref="D2:L2"/>
  </mergeCells>
  <pageMargins left="0.35" right="0.35" top="0.5" bottom="0.5" header="0.2" footer="0.2"/>
  <pageSetup orientation="landscape" fitToWidth="1" fitToHeight="0"/>
</worksheet>
</file>