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4000" windowHeight="14000"/>
  </bookViews>
  <sheets>
    <sheet name="Summary" sheetId="1" r:id="rId1"/>
    <sheet name="Selected NA Results" sheetId="2" r:id="rId2"/>
    <sheet name="MM Results" sheetId="3" r:id="rId3"/>
  </sheets>
  <calcPr calcId="191029" fullCalcOnLoad="1" forceFullCalc="1"/>
</workbook>
</file>

<file path=xl/styles.xml><?xml version="1.0" encoding="utf-8"?>
<styleSheet xmlns="http://schemas.openxmlformats.org/spreadsheetml/2006/main">
  <numFmts count="3">
    <numFmt numFmtId="164" formatCode="0.00"/>
    <numFmt numFmtId="165" formatCode="0.00000"/>
    <numFmt numFmtId="166" formatCode="0.00%"/>
  </numFmts>
  <fonts count="4">
    <font>
      <sz val="11"/>
      <color theme="1"/>
      <name val="Calibri"/>
      <family val="2"/>
    </font>
    <font>
      <b/>
      <sz val="16"/>
      <color rgb="FFFFFFFF"/>
      <name val="Calibri"/>
    </font>
    <font>
      <b/>
      <sz val="11"/>
      <color rgb="FFFFFFFF"/>
      <name val="Calibri"/>
    </font>
    <font>
      <b/>
      <sz val="11"/>
      <color rgb="FF243B5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02A43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1F5F9"/>
        <bgColor indexed="64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vertical="center"/>
    </xf>
    <xf numFmtId="0" fontId="3" fillId="4" borderId="1" xfId="0" applyFont="1" applyFill="1" applyBorder="1"/>
    <xf numFmtId="164" fontId="0" fillId="0" borderId="1" xfId="0" applyNumberFormat="1" applyBorder="1"/>
    <xf numFmtId="0" fontId="2" fillId="2" borderId="1" xfId="0" applyFont="1" applyFill="1" applyBorder="1" applyAlignment="1">
      <alignment horizontal="center" vertical="center" wrapText="1"/>
    </xf>
    <xf numFmtId="165" fontId="0" fillId="0" borderId="1" xfId="0" applyNumberFormat="1" applyBorder="1"/>
    <xf numFmtId="0" fontId="0" fillId="0" borderId="1" xfId="0" applyBorder="1"/>
    <xf numFmtId="166" fontId="0" fillId="0" borderId="1" xfId="0" applyNumberFormat="1" applyBorder="1"/>
    <xf numFmtId="0" fontId="0" fillId="0" borderId="1" xfId="0" applyBorder="1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styles" Target="styles.xml"/>
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section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0</xdr:colOff>
      <xdr:row>7</xdr:row>
      <xdr:rowOff>0</xdr:rowOff>
    </xdr:from>
    <xdr:ext cx="6858000" cy="4572000"/>
    <xdr:pic>
      <xdr:nvPicPr>
        <xdr:cNvPr id="2" name="Concrete Section.pn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0" y="0"/>
          <a:ext cx="6858000" cy="457200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cols>
    <col min="1" max="1" width="29" customWidth="1"/>
    <col min="2" max="2" width="30" customWidth="1"/>
    <col min="3" max="3" width="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3" customWidth="1"/>
    <col min="10" max="10" width="13" customWidth="1"/>
    <col min="11" max="11" width="13" customWidth="1"/>
    <col min="12" max="12" width="13" customWidth="1"/>
  </cols>
  <sheetData>
    <row r="1" ht="28" customHeight="1">
      <c r="A1" s="1" t="inlineStr">
        <is>
          <t xml:space="preserve">Concrete Section Analysis Export</t>
        </is>
      </c>
    </row>
    <row r="2">
      <c r="A2" s="3" t="inlineStr">
        <is>
          <t xml:space="preserve">Project name</t>
        </is>
      </c>
      <c r="B2" s="9" t="inlineStr">
        <is>
          <t xml:space="preserve">Pier 4 Retrofit</t>
        </is>
      </c>
    </row>
    <row r="3" ht="36" customHeight="1">
      <c r="A3" s="3" t="inlineStr">
        <is>
          <t xml:space="preserve">Description</t>
        </is>
      </c>
      <c r="B3" s="9" t="inlineStr">
        <is>
          <t xml:space="preserve">Imported and saved section input model.</t>
        </is>
      </c>
    </row>
    <row r="4" ht="54" customHeight="1">
      <c r="A4" s="3" t="inlineStr">
        <is>
          <t xml:space="preserve">Notes</t>
        </is>
      </c>
      <c r="B4" s="9" t="inlineStr">
        <is>
          <t xml:space="preserve">Verification metadata for the save/import workflow.</t>
        </is>
      </c>
    </row>
    <row r="5">
      <c r="A5" s="3" t="inlineStr">
        <is>
          <t xml:space="preserve">Generated</t>
        </is>
      </c>
      <c r="B5" s="0" t="inlineStr">
        <is>
          <t xml:space="preserve">8/16/2026, 8:00:00 PM</t>
        </is>
      </c>
    </row>
    <row r="7" ht="22" customHeight="1">
      <c r="A7" s="2" t="inlineStr">
        <is>
          <t xml:space="preserve">Section Parameters</t>
        </is>
      </c>
      <c r="D7" s="2" t="inlineStr">
        <is>
          <t xml:space="preserve">Section Image</t>
        </is>
      </c>
    </row>
    <row r="8">
      <c r="A8" s="3" t="inlineStr">
        <is>
          <t xml:space="preserve">Concrete material</t>
        </is>
      </c>
      <c r="B8" s="0" t="inlineStr">
        <is>
          <t xml:space="preserve">Verification Concrete</t>
        </is>
      </c>
    </row>
    <row r="9">
      <c r="A9" s="3" t="inlineStr">
        <is>
          <t xml:space="preserve">Overall width (in)</t>
        </is>
      </c>
      <c r="B9" s="4">
        <v>24</v>
      </c>
    </row>
    <row r="10">
      <c r="A10" s="3" t="inlineStr">
        <is>
          <t xml:space="preserve">Overall height (in)</t>
        </is>
      </c>
      <c r="B10" s="4">
        <v>24</v>
      </c>
    </row>
    <row r="11">
      <c r="A11" s="3" t="inlineStr">
        <is>
          <t xml:space="preserve">Concrete area (in²)</t>
        </is>
      </c>
      <c r="B11" s="4">
        <v>547.73</v>
      </c>
    </row>
    <row r="12">
      <c r="A12" s="3" t="inlineStr">
        <is>
          <t xml:space="preserve">Total number of rebar</t>
        </is>
      </c>
      <c r="B12" s="7">
        <v>1</v>
      </c>
    </row>
    <row r="13">
      <c r="A13" s="3" t="inlineStr">
        <is>
          <t xml:space="preserve">Total steel area (in²)</t>
        </is>
      </c>
      <c r="B13" s="4">
        <v>0.7853981633974483</v>
      </c>
    </row>
    <row r="14">
      <c r="A14" s="3" t="inlineStr">
        <is>
          <t xml:space="preserve">Reinforcement ratio</t>
        </is>
      </c>
      <c r="B14" s="8">
        <f>B13/B11</f>
        <v>0.001433914818245209</v>
      </c>
    </row>
    <row r="15">
      <c r="A15" s="3" t="inlineStr">
        <is>
          <t xml:space="preserve">Centroid X (in)</t>
        </is>
      </c>
      <c r="B15" s="4">
        <v>0</v>
      </c>
    </row>
    <row r="16">
      <c r="A16" s="3" t="inlineStr">
        <is>
          <t xml:space="preserve">Centroid Y (in)</t>
        </is>
      </c>
      <c r="B16" s="4">
        <v>0</v>
      </c>
    </row>
    <row r="17">
      <c r="A17" s="3" t="inlineStr">
        <is>
          <t xml:space="preserve">Rebar provided</t>
        </is>
      </c>
      <c r="B17" s="0" t="inlineStr">
        <is>
          <t xml:space="preserve">1 × #8</t>
        </is>
      </c>
    </row>
    <row r="18">
      <c r="A18" s="3" t="inlineStr">
        <is>
          <t xml:space="preserve">Rebar material(s)</t>
        </is>
      </c>
      <c r="B18" s="0" t="inlineStr">
        <is>
          <t xml:space="preserve">1 × Verification Steel</t>
        </is>
      </c>
    </row>
    <row r="19">
      <c r="A19" s="3" t="inlineStr">
        <is>
          <t xml:space="preserve">Edge mesh spacing (in)</t>
        </is>
      </c>
      <c r="B19" s="4">
        <v>0.75</v>
      </c>
    </row>
    <row r="20">
      <c r="A20" s="3" t="inlineStr">
        <is>
          <t xml:space="preserve">Interior mesh spacing (in)</t>
        </is>
      </c>
      <c r="B20" s="4">
        <v>1.25</v>
      </c>
    </row>
    <row r="22" ht="22" customHeight="1">
      <c r="A22" s="2" t="inlineStr">
        <is>
          <t xml:space="preserve">Exported Analysis</t>
        </is>
      </c>
    </row>
    <row r="23">
      <c r="A23" s="3" t="inlineStr">
        <is>
          <t xml:space="preserve">Selected NA angle (deg)</t>
        </is>
      </c>
      <c r="B23" s="4">
        <v>30</v>
      </c>
    </row>
    <row r="24">
      <c r="A24" s="3" t="inlineStr">
        <is>
          <t xml:space="preserve">MM axial load (kips)</t>
        </is>
      </c>
      <c r="B24" s="4">
        <v>-200</v>
      </c>
    </row>
    <row r="25">
      <c r="A25" s="3" t="inlineStr">
        <is>
          <t xml:space="preserve">Nominal MM points</t>
        </is>
      </c>
      <c r="B25" s="7">
        <v>1</v>
      </c>
    </row>
    <row r="26">
      <c r="A26" s="3" t="inlineStr">
        <is>
          <t xml:space="preserve">φMM points</t>
        </is>
      </c>
      <c r="B26" s="7">
        <v>1</v>
      </c>
    </row>
  </sheetData>
  <mergeCells count="7">
    <mergeCell ref="A1:L1"/>
    <mergeCell ref="B2:L2"/>
    <mergeCell ref="B3:L3"/>
    <mergeCell ref="B4:L4"/>
    <mergeCell ref="A7:B7"/>
    <mergeCell ref="D7:L7"/>
    <mergeCell ref="A22:B22"/>
  </mergeCells>
  <pageMargins left="0.35" right="0.35" top="0.5" bottom="0.5" header="0.2" footer="0.2"/>
  <pageSetup orientation="landscape" fitToWidth="1" fitToHeight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4" topLeftCell="A5" activePane="bottomLeft" state="frozen"/>
    </sheetView>
  </sheetViews>
  <sheetFormatPr defaultRowHeight="15"/>
  <cols>
    <col min="1" max="1" width="24" customWidth="1"/>
    <col min="2" max="2" width="16" customWidth="1"/>
    <col min="3" max="3" width="16" customWidth="1"/>
    <col min="4" max="4" width="18" customWidth="1"/>
    <col min="5" max="5" width="15" customWidth="1"/>
    <col min="6" max="6" width="15" customWidth="1"/>
    <col min="7" max="7" width="15" customWidth="1"/>
    <col min="8" max="8" width="19" customWidth="1"/>
    <col min="9" max="9" width="10" customWidth="1"/>
    <col min="10" max="10" width="15" customWidth="1"/>
    <col min="11" max="11" width="15" customWidth="1"/>
    <col min="12" max="12" width="15" customWidth="1"/>
  </cols>
  <sheetData>
    <row r="1" ht="28" customHeight="1">
      <c r="A1" s="1" t="inlineStr">
        <is>
          <t xml:space="preserve">Selected Neutral-Axis PMM Results</t>
        </is>
      </c>
    </row>
    <row r="2">
      <c r="A2" s="3" t="inlineStr">
        <is>
          <t xml:space="preserve">Neutral-axis angle (deg)</t>
        </is>
      </c>
      <c r="B2" s="4">
        <v>30</v>
      </c>
    </row>
    <row r="4" ht="28" customHeight="1">
      <c r="A4" s="5" t="inlineStr">
        <is>
          <t xml:space="preserve">Profile</t>
        </is>
      </c>
      <c r="B4" s="5" t="inlineStr">
        <is>
          <t xml:space="preserve">NA Angle (deg)</t>
        </is>
      </c>
      <c r="C4" s="5" t="inlineStr">
        <is>
          <t xml:space="preserve">Strain Slope</t>
        </is>
      </c>
      <c r="D4" s="5" t="inlineStr">
        <is>
          <t xml:space="preserve">Strain Intercept</t>
        </is>
      </c>
      <c r="E4" s="5" t="inlineStr">
        <is>
          <t xml:space="preserve">P (kips)</t>
        </is>
      </c>
      <c r="F4" s="5" t="inlineStr">
        <is>
          <t xml:space="preserve">Mx (kip-ft)</t>
        </is>
      </c>
      <c r="G4" s="5" t="inlineStr">
        <is>
          <t xml:space="preserve">My (kip-ft)</t>
        </is>
      </c>
      <c r="H4" s="5" t="inlineStr">
        <is>
          <t xml:space="preserve">Max Rebar Strain</t>
        </is>
      </c>
      <c r="I4" s="5" t="inlineStr">
        <is>
          <t xml:space="preserve">φ</t>
        </is>
      </c>
      <c r="J4" s="5" t="inlineStr">
        <is>
          <t xml:space="preserve">φP (kips)</t>
        </is>
      </c>
      <c r="K4" s="5" t="inlineStr">
        <is>
          <t xml:space="preserve">φMx (kip-ft)</t>
        </is>
      </c>
      <c r="L4" s="5" t="inlineStr">
        <is>
          <t xml:space="preserve">φMy (kip-ft)</t>
        </is>
      </c>
    </row>
    <row r="5">
      <c r="A5" s="7">
        <v>0</v>
      </c>
      <c r="B5" s="6">
        <v>30</v>
      </c>
      <c r="C5" s="6">
        <v>-0.0002</v>
      </c>
      <c r="D5" s="6">
        <v>0.001</v>
      </c>
      <c r="E5" s="6">
        <v>-500</v>
      </c>
      <c r="F5" s="6">
        <v>120</v>
      </c>
      <c r="G5" s="6">
        <v>60</v>
      </c>
      <c r="H5" s="6">
        <v>0.005</v>
      </c>
      <c r="I5" s="6">
        <v>0.9</v>
      </c>
      <c r="J5" s="6">
        <v>-450</v>
      </c>
      <c r="K5" s="6">
        <v>108</v>
      </c>
      <c r="L5" s="6">
        <v>54</v>
      </c>
    </row>
  </sheetData>
  <autoFilter ref="A4:L5"/>
  <mergeCells count="1">
    <mergeCell ref="A1:L1"/>
  </mergeCells>
  <pageMargins left="0.35" right="0.35" top="0.5" bottom="0.5" header="0.2" footer="0.2"/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"/>
  <sheetViews>
    <sheetView workbookViewId="0">
      <pane ySplit="4" topLeftCell="A5" activePane="bottomLeft" state="frozen"/>
    </sheetView>
  </sheetViews>
  <sheetFormatPr defaultRowHeight="15"/>
  <cols>
    <col min="1" max="1" width="24" customWidth="1"/>
    <col min="2" max="2" width="16" customWidth="1"/>
    <col min="3" max="3" width="18" customWidth="1"/>
    <col min="4" max="4" width="20" customWidth="1"/>
    <col min="5" max="5" width="20" customWidth="1"/>
    <col min="6" max="6" width="21" customWidth="1"/>
    <col min="7" max="7" width="23" customWidth="1"/>
    <col min="8" max="8" width="15" customWidth="1"/>
    <col min="9" max="9" width="17" customWidth="1"/>
    <col min="10" max="10" width="17" customWidth="1"/>
    <col min="11" max="11" width="18" customWidth="1"/>
    <col min="12" max="12" width="20" customWidth="1"/>
  </cols>
  <sheetData>
    <row r="1" ht="28" customHeight="1">
      <c r="A1" s="1" t="inlineStr">
        <is>
          <t xml:space="preserve">Moment-Moment Results</t>
        </is>
      </c>
    </row>
    <row r="2">
      <c r="A2" s="3" t="inlineStr">
        <is>
          <t xml:space="preserve">Target axial load (kips)</t>
        </is>
      </c>
      <c r="B2" s="4">
        <v>-200</v>
      </c>
      <c r="D2" s="0" t="inlineStr">
        <is>
          <t xml:space="preserve">Blank φ cells mean no reduced-strength solution exists.</t>
        </is>
      </c>
    </row>
    <row r="4" ht="32" customHeight="1">
      <c r="A4" s="5" t="inlineStr">
        <is>
          <t xml:space="preserve">Point</t>
        </is>
      </c>
      <c r="B4" s="5" t="inlineStr">
        <is>
          <t xml:space="preserve">NA Angle (deg)</t>
        </is>
      </c>
      <c r="C4" s="5" t="inlineStr">
        <is>
          <t xml:space="preserve">Nominal P (kips)</t>
        </is>
      </c>
      <c r="D4" s="5" t="inlineStr">
        <is>
          <t xml:space="preserve">Nominal Mx (kip-ft)</t>
        </is>
      </c>
      <c r="E4" s="5" t="inlineStr">
        <is>
          <t xml:space="preserve">Nominal My (kip-ft)</t>
        </is>
      </c>
      <c r="F4" s="5" t="inlineStr">
        <is>
          <t xml:space="preserve">Nominal Strain Slope</t>
        </is>
      </c>
      <c r="G4" s="5" t="inlineStr">
        <is>
          <t xml:space="preserve">Nominal Strain Intercept</t>
        </is>
      </c>
      <c r="H4" s="5" t="inlineStr">
        <is>
          <t xml:space="preserve">φP (kips)</t>
        </is>
      </c>
      <c r="I4" s="5" t="inlineStr">
        <is>
          <t xml:space="preserve">φMx (kip-ft)</t>
        </is>
      </c>
      <c r="J4" s="5" t="inlineStr">
        <is>
          <t xml:space="preserve">φMy (kip-ft)</t>
        </is>
      </c>
      <c r="K4" s="5" t="inlineStr">
        <is>
          <t xml:space="preserve">φ Strain Slope</t>
        </is>
      </c>
      <c r="L4" s="5" t="inlineStr">
        <is>
          <t xml:space="preserve">φ Strain Intercept</t>
        </is>
      </c>
    </row>
    <row r="5">
      <c r="A5" s="7">
        <v>0</v>
      </c>
      <c r="B5" s="6">
        <v>0</v>
      </c>
      <c r="C5" s="6">
        <v>-200</v>
      </c>
      <c r="D5" s="6">
        <v>180</v>
      </c>
      <c r="E5" s="6">
        <v>0</v>
      </c>
      <c r="F5" s="6">
        <v>-0.0002</v>
      </c>
      <c r="G5" s="6">
        <v>0.001</v>
      </c>
      <c r="H5" s="6">
        <v>-180</v>
      </c>
      <c r="I5" s="6">
        <v>162</v>
      </c>
      <c r="J5" s="6">
        <v>0</v>
      </c>
      <c r="K5" s="6">
        <v>-0.00018</v>
      </c>
      <c r="L5" s="6">
        <v>0.001</v>
      </c>
    </row>
  </sheetData>
  <autoFilter ref="A4:L5"/>
  <mergeCells count="2">
    <mergeCell ref="A1:L1"/>
    <mergeCell ref="D2:L2"/>
  </mergeCells>
  <pageMargins left="0.35" right="0.35" top="0.5" bottom="0.5" header="0.2" footer="0.2"/>
  <pageSetup orientation="landscape" fitToWidth="1" fitToHeight="0"/>
</worksheet>
</file>